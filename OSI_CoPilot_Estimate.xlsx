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<sst xmlns="http://schemas.openxmlformats.org/spreadsheetml/2006/main" count="119" uniqueCount="110">
  <si>
    <t xml:space="preserve">OSI CoPilot - PD &amp; Cloud Estimate</t>
  </si>
  <si>
    <t xml:space="preserve">Phase 1</t>
  </si>
  <si>
    <t xml:space="preserve">Phase 2</t>
  </si>
  <si>
    <t xml:space="preserve">Phase 3</t>
  </si>
  <si>
    <t xml:space="preserve">Phase 4</t>
  </si>
  <si>
    <t xml:space="preserve">Phase 5</t>
  </si>
  <si>
    <t xml:space="preserve">Phase 6</t>
  </si>
  <si>
    <t xml:space="preserve">Basis</t>
  </si>
  <si>
    <t xml:space="preserve">Deloitte</t>
  </si>
  <si>
    <t xml:space="preserve">non-DL</t>
  </si>
  <si>
    <t xml:space="preserve">AWS UNIT PRICES</t>
  </si>
  <si>
    <t xml:space="preserve">Unit price</t>
  </si>
  <si>
    <t xml:space="preserve">Unit</t>
  </si>
  <si>
    <t xml:space="preserve">S3 Standard storage</t>
  </si>
  <si>
    <t xml:space="preserve">EUR/GB/month</t>
  </si>
  <si>
    <t xml:space="preserve">Avg page file size</t>
  </si>
  <si>
    <t xml:space="preserve">KB/page</t>
  </si>
  <si>
    <t xml:space="preserve">Textract - DetectText (OCR)</t>
  </si>
  <si>
    <t xml:space="preserve">EUR/page</t>
  </si>
  <si>
    <t xml:space="preserve">Textract - Tables+Forms</t>
  </si>
  <si>
    <t xml:space="preserve">Textract - Queries</t>
  </si>
  <si>
    <t xml:space="preserve">% pages with tables/forms</t>
  </si>
  <si>
    <t xml:space="preserve">% pages needing queries</t>
  </si>
  <si>
    <t xml:space="preserve">LLM - extraction per CFR</t>
  </si>
  <si>
    <t xml:space="preserve">EUR/CFR</t>
  </si>
  <si>
    <t xml:space="preserve">LLM - forbearance per CFR</t>
  </si>
  <si>
    <t xml:space="preserve">LLM - doc classifier per doc</t>
  </si>
  <si>
    <t xml:space="preserve">EUR/doc</t>
  </si>
  <si>
    <t xml:space="preserve">LLM - embeddings per page</t>
  </si>
  <si>
    <t xml:space="preserve">LLM - overhead factor</t>
  </si>
  <si>
    <t xml:space="preserve">VOLUMES</t>
  </si>
  <si>
    <t xml:space="preserve"># CFRs</t>
  </si>
  <si>
    <t xml:space="preserve">Req: 300/mission, up to 900/bank</t>
  </si>
  <si>
    <t xml:space="preserve"># Documents per CFR</t>
  </si>
  <si>
    <t xml:space="preserve">'each credit file contains on avg 50 documents'</t>
  </si>
  <si>
    <t xml:space="preserve"># Pages per CFR (total across all docs)</t>
  </si>
  <si>
    <t xml:space="preserve">'each containing ~500 pages'. NOT per document.</t>
  </si>
  <si>
    <t xml:space="preserve">Total documents</t>
  </si>
  <si>
    <t xml:space="preserve">CFRs x docs/CFR</t>
  </si>
  <si>
    <t xml:space="preserve">Total pages</t>
  </si>
  <si>
    <t xml:space="preserve">CFRs x pages/CFR</t>
  </si>
  <si>
    <t xml:space="preserve">PERSON-DAYS (build, one-time)</t>
  </si>
  <si>
    <t xml:space="preserve">UC1: Corporate (BS, P&amp;L, CF, Equity, DSCR, EBITDA)</t>
  </si>
  <si>
    <t xml:space="preserve">Partly built. P2: add ratios.</t>
  </si>
  <si>
    <t xml:space="preserve">UC1: Retail (DSTI, DTI, LTI, LTV, income)</t>
  </si>
  <si>
    <t xml:space="preserve">Not built. New agent set.</t>
  </si>
  <si>
    <t xml:space="preserve">UC1: Business plans, FX, trends</t>
  </si>
  <si>
    <t xml:space="preserve">New doc types + cross-debtor views</t>
  </si>
  <si>
    <t xml:space="preserve">UC2: Forbearance + IFRS9 staging</t>
  </si>
  <si>
    <t xml:space="preserve">Built. P2: expand scope.</t>
  </si>
  <si>
    <t xml:space="preserve">UC2: Reg. classification (NPE, POCI)</t>
  </si>
  <si>
    <t xml:space="preserve">Not built. New dimension.</t>
  </si>
  <si>
    <t xml:space="preserve">UC2: Other credit events + txn-level</t>
  </si>
  <si>
    <t xml:space="preserve">Loan mods, insolvencies</t>
  </si>
  <si>
    <t xml:space="preserve">Platform (dashboard, doc viewer, reports)</t>
  </si>
  <si>
    <t xml:space="preserve">Severity rankings, source refs</t>
  </si>
  <si>
    <t xml:space="preserve">Infra + CI/CD + multi-user</t>
  </si>
  <si>
    <t xml:space="preserve">P2: basic. P4: enterprise SSO</t>
  </si>
  <si>
    <t xml:space="preserve">P4: Architectural redesign</t>
  </si>
  <si>
    <t xml:space="preserve">Batch, queues, rate limiting</t>
  </si>
  <si>
    <t xml:space="preserve">P4: OSI Credit integration</t>
  </si>
  <si>
    <t xml:space="preserve">Embed into ECB platform</t>
  </si>
  <si>
    <t xml:space="preserve">P5: UAT</t>
  </si>
  <si>
    <t xml:space="preserve">Test planning, execution, sign-off</t>
  </si>
  <si>
    <t xml:space="preserve">TOTAL BUILD PD</t>
  </si>
  <si>
    <t xml:space="preserve">50K€ fixed</t>
  </si>
  <si>
    <t xml:space="preserve">PERSON-DAYS (ops, annual)</t>
  </si>
  <si>
    <t xml:space="preserve">Prompt tuning + model updates</t>
  </si>
  <si>
    <t xml:space="preserve">Trigger / methodology updates</t>
  </si>
  <si>
    <t xml:space="preserve">User support + onboarding</t>
  </si>
  <si>
    <t xml:space="preserve">Testing + QA</t>
  </si>
  <si>
    <t xml:space="preserve">Infra, DevOps, security</t>
  </si>
  <si>
    <t xml:space="preserve">Documentation</t>
  </si>
  <si>
    <t xml:space="preserve">Monitoring, incidents, SLA</t>
  </si>
  <si>
    <t xml:space="preserve">TOTAL OPS PD / year</t>
  </si>
  <si>
    <t xml:space="preserve">CLOUD COSTS (annual euro)</t>
  </si>
  <si>
    <t xml:space="preserve">Storage (S3 + vector DB + Postgres)</t>
  </si>
  <si>
    <t xml:space="preserve">S3: pages x B8 KB / 1M x B7 $/GB/mo x 12 + DB + backups</t>
  </si>
  <si>
    <t xml:space="preserve">Compute (ECS Fargate)</t>
  </si>
  <si>
    <t xml:space="preserve">Backend + frontend + workers (P4/6) + ALB. Estimate.</t>
  </si>
  <si>
    <t xml:space="preserve">Textract: OCR (all pages)</t>
  </si>
  <si>
    <t xml:space="preserve">total pages x 0.0014 EUR/page</t>
  </si>
  <si>
    <t xml:space="preserve">Textract: Tables+Forms (% of pages)</t>
  </si>
  <si>
    <t xml:space="preserve">total pages x 30% x 0.060 EUR/page</t>
  </si>
  <si>
    <t xml:space="preserve">Textract: Queries (% of pages)</t>
  </si>
  <si>
    <t xml:space="preserve">total pages x 10% x 0.014 EUR/page</t>
  </si>
  <si>
    <t xml:space="preserve">LLM: Extraction agents</t>
  </si>
  <si>
    <t xml:space="preserve">CFRs x 2.30 EUR/CFR</t>
  </si>
  <si>
    <t xml:space="preserve">LLM: Forbearance / classification</t>
  </si>
  <si>
    <t xml:space="preserve">CFRs x 1.38 EUR/CFR</t>
  </si>
  <si>
    <t xml:space="preserve">LLM: Doc classifier</t>
  </si>
  <si>
    <t xml:space="preserve">total docs x 0.046 EUR/doc</t>
  </si>
  <si>
    <t xml:space="preserve">LLM: Embeddings</t>
  </si>
  <si>
    <t xml:space="preserve">total pages x 0.0001 EUR/page</t>
  </si>
  <si>
    <t xml:space="preserve">LLM: Overhead (retries, testing)</t>
  </si>
  <si>
    <t xml:space="preserve">15% x LLM subtotal</t>
  </si>
  <si>
    <t xml:space="preserve">TOTAL CLOUD / year</t>
  </si>
  <si>
    <t xml:space="preserve">SUMMARY</t>
  </si>
  <si>
    <t xml:space="preserve">Build PD</t>
  </si>
  <si>
    <t xml:space="preserve">Ops PD / year</t>
  </si>
  <si>
    <t xml:space="preserve">Cloud (annual)</t>
  </si>
  <si>
    <t xml:space="preserve">Cursor (Enterprise, licenses + tokens)</t>
  </si>
  <si>
    <t xml:space="preserve">Enterprise 200 EUR/user/mo. P2: 2 devs. P3,P5: 1 dev.</t>
  </si>
  <si>
    <t xml:space="preserve">Phase 1 = 50K€ fixed (David). Phases 1-3,5 = Deloitte. Phases 4,6 = non-Deloitte.</t>
  </si>
  <si>
    <t xml:space="preserve">500 pages per CFR total (across ~50 docs). NOT 500 per document.</t>
  </si>
  <si>
    <t xml:space="preserve">Phase 4 includes architectural redesign - FORTUNA cannot scale to 300 CFRs as-is.</t>
  </si>
  <si>
    <t xml:space="preserve">Phase 4 volume = 20 CFRs (dev/test only).</t>
  </si>
  <si>
    <t xml:space="preserve">All unit prices in blue at top - change there, cloud costs recalculate.</t>
  </si>
  <si>
    <t xml:space="preserve">LLM per-CFR costs based on FORTUNA benchmarks (7-10 EUR/run GPT-4o incl. retries).</t>
  </si>
  <si>
    <t xml:space="preserve">PD rate not applied - Harshitha to set from rate card.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</si>
</sst>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#,##0"/>
    <numFmt numFmtId="167" formatCode="0.0000"/>
    <numFmt numFmtId="168" formatCode="0%"/>
    <numFmt numFmtId="169" formatCode="0.00"/>
    <numFmt numFmtId="170" formatCode="#,##0&quot; €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5B9BD5"/>
        <bgColor rgb="FF7F7F7F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86BC25"/>
      </patternFill>
    </fill>
    <fill>
      <patternFill patternType="solid">
        <fgColor rgb="FF7F7F7F"/>
        <bgColor rgb="FF666666"/>
      </patternFill>
    </fill>
    <fill>
      <patternFill patternType="solid">
        <fgColor rgb="FF9B59B6"/>
        <bgColor rgb="FF7F7F7F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F2F2F2"/>
      </patternFill>
    </fill>
    <fill>
      <patternFill patternType="solid">
        <fgColor rgb="FFFFF3CD"/>
        <bgColor rgb="FFF2F2F2"/>
      </patternFill>
    </fill>
    <fill>
      <patternFill patternType="solid">
        <fgColor rgb="FF86BC25"/>
        <bgColor rgb="FF70AD4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5B9BD5"/>
      <rgbColor rgb="FF9B59B6"/>
      <rgbColor rgb="FFFFF3CD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6BC25"/>
      <rgbColor rgb="FFFFCC00"/>
      <rgbColor rgb="FFFF9900"/>
      <rgbColor rgb="FFED7D31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7" min="2" style="1" width="12"/>
    <col collapsed="false" customWidth="true" hidden="false" outlineLevel="0" max="8" min="8" style="1" width="44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B3" s="3" t="s">
        <v>1</v>
      </c>
      <c r="C3" s="4" t="s">
        <v>2</v>
      </c>
      <c r="D3" s="5" t="s">
        <v>3</v>
      </c>
      <c r="E3" s="6" t="s">
        <v>4</v>
      </c>
      <c r="F3" s="7" t="s">
        <v>5</v>
      </c>
      <c r="G3" s="6" t="s">
        <v>6</v>
      </c>
      <c r="H3" s="8" t="s">
        <v>7</v>
      </c>
    </row>
    <row r="4" customFormat="false" ht="15" hidden="false" customHeight="true" outlineLevel="0" collapsed="false">
      <c r="A4" s="9"/>
      <c r="B4" s="9" t="s">
        <v>8</v>
      </c>
      <c r="C4" s="9" t="s">
        <v>8</v>
      </c>
      <c r="D4" s="9" t="s">
        <v>8</v>
      </c>
      <c r="E4" s="9" t="s">
        <v>9</v>
      </c>
      <c r="F4" s="9" t="s">
        <v>8</v>
      </c>
      <c r="G4" s="9" t="s">
        <v>9</v>
      </c>
      <c r="H4" s="9"/>
    </row>
    <row r="6" customFormat="false" ht="15" hidden="false" customHeight="true" outlineLevel="0" collapsed="false">
      <c r="A6" s="10" t="s">
        <v>10</v>
      </c>
      <c r="B6" s="10" t="s">
        <v>11</v>
      </c>
      <c r="C6" s="10" t="s">
        <v>12</v>
      </c>
    </row>
    <row r="7" customFormat="false" ht="15" hidden="false" customHeight="true" outlineLevel="0" collapsed="false">
      <c r="A7" s="11" t="s">
        <v>13</v>
      </c>
      <c r="B7" s="12" t="n">
        <v>0.02116</v>
      </c>
      <c r="C7" s="13" t="s">
        <v>14</v>
      </c>
    </row>
    <row r="8" customFormat="false" ht="15" hidden="false" customHeight="true" outlineLevel="0" collapsed="false">
      <c r="A8" s="11" t="s">
        <v>15</v>
      </c>
      <c r="B8" s="14" t="n">
        <v>15</v>
      </c>
      <c r="C8" s="13" t="s">
        <v>16</v>
      </c>
    </row>
    <row r="9" customFormat="false" ht="15" hidden="false" customHeight="true" outlineLevel="0" collapsed="false">
      <c r="A9" s="11" t="s">
        <v>17</v>
      </c>
      <c r="B9" s="15" t="n">
        <v>0.00138</v>
      </c>
      <c r="C9" s="13" t="s">
        <v>18</v>
      </c>
    </row>
    <row r="10" customFormat="false" ht="15" hidden="false" customHeight="true" outlineLevel="0" collapsed="false">
      <c r="A10" s="11" t="s">
        <v>19</v>
      </c>
      <c r="B10" s="12" t="n">
        <v>0.0598</v>
      </c>
      <c r="C10" s="13" t="s">
        <v>18</v>
      </c>
    </row>
    <row r="11" customFormat="false" ht="15" hidden="false" customHeight="true" outlineLevel="0" collapsed="false">
      <c r="A11" s="11" t="s">
        <v>20</v>
      </c>
      <c r="B11" s="12" t="n">
        <v>0.0138</v>
      </c>
      <c r="C11" s="13" t="s">
        <v>18</v>
      </c>
    </row>
    <row r="12" customFormat="false" ht="15" hidden="false" customHeight="true" outlineLevel="0" collapsed="false">
      <c r="A12" s="11" t="s">
        <v>21</v>
      </c>
      <c r="B12" s="16" t="n">
        <v>0.3</v>
      </c>
      <c r="C12" s="13"/>
    </row>
    <row r="13" customFormat="false" ht="15" hidden="false" customHeight="true" outlineLevel="0" collapsed="false">
      <c r="A13" s="11" t="s">
        <v>22</v>
      </c>
      <c r="B13" s="16" t="n">
        <v>0.1</v>
      </c>
      <c r="C13" s="13"/>
    </row>
    <row r="14" customFormat="false" ht="15" hidden="false" customHeight="true" outlineLevel="0" collapsed="false">
      <c r="A14" s="11" t="s">
        <v>23</v>
      </c>
      <c r="B14" s="17" t="n">
        <v>2.3</v>
      </c>
      <c r="C14" s="13" t="s">
        <v>24</v>
      </c>
    </row>
    <row r="15" customFormat="false" ht="15" hidden="false" customHeight="true" outlineLevel="0" collapsed="false">
      <c r="A15" s="11" t="s">
        <v>25</v>
      </c>
      <c r="B15" s="17" t="n">
        <v>1.38</v>
      </c>
      <c r="C15" s="13" t="s">
        <v>24</v>
      </c>
    </row>
    <row r="16" customFormat="false" ht="15" hidden="false" customHeight="true" outlineLevel="0" collapsed="false">
      <c r="A16" s="11" t="s">
        <v>26</v>
      </c>
      <c r="B16" s="17" t="n">
        <v>0.046</v>
      </c>
      <c r="C16" s="13" t="s">
        <v>27</v>
      </c>
    </row>
    <row r="17" customFormat="false" ht="15" hidden="false" customHeight="true" outlineLevel="0" collapsed="false">
      <c r="A17" s="11" t="s">
        <v>28</v>
      </c>
      <c r="B17" s="15" t="n">
        <v>9.2E-005</v>
      </c>
      <c r="C17" s="13" t="s">
        <v>18</v>
      </c>
    </row>
    <row r="18" customFormat="false" ht="15" hidden="false" customHeight="true" outlineLevel="0" collapsed="false">
      <c r="A18" s="11" t="s">
        <v>29</v>
      </c>
      <c r="B18" s="16" t="n">
        <v>0.15</v>
      </c>
      <c r="C18" s="13"/>
    </row>
    <row r="20" customFormat="false" ht="15" hidden="false" customHeight="true" outlineLevel="0" collapsed="false">
      <c r="A20" s="10" t="s">
        <v>30</v>
      </c>
      <c r="B20" s="18"/>
      <c r="C20" s="18"/>
      <c r="D20" s="18"/>
      <c r="E20" s="18"/>
      <c r="F20" s="18"/>
      <c r="G20" s="18"/>
      <c r="H20" s="18"/>
    </row>
    <row r="21" customFormat="false" ht="15" hidden="false" customHeight="true" outlineLevel="0" collapsed="false">
      <c r="A21" s="11" t="s">
        <v>31</v>
      </c>
      <c r="B21" s="19" t="n">
        <v>1</v>
      </c>
      <c r="C21" s="19" t="n">
        <v>1</v>
      </c>
      <c r="D21" s="19" t="n">
        <v>10</v>
      </c>
      <c r="E21" s="19" t="n">
        <v>20</v>
      </c>
      <c r="F21" s="19" t="n">
        <v>10</v>
      </c>
      <c r="G21" s="19" t="n">
        <v>900</v>
      </c>
      <c r="H21" s="13" t="s">
        <v>32</v>
      </c>
    </row>
    <row r="22" customFormat="false" ht="15" hidden="false" customHeight="true" outlineLevel="0" collapsed="false">
      <c r="A22" s="11" t="s">
        <v>33</v>
      </c>
      <c r="B22" s="19" t="n">
        <v>50</v>
      </c>
      <c r="C22" s="19" t="n">
        <v>50</v>
      </c>
      <c r="D22" s="19" t="n">
        <v>50</v>
      </c>
      <c r="E22" s="19" t="n">
        <v>50</v>
      </c>
      <c r="F22" s="19" t="n">
        <v>50</v>
      </c>
      <c r="G22" s="19" t="n">
        <v>50</v>
      </c>
      <c r="H22" s="13" t="s">
        <v>34</v>
      </c>
    </row>
    <row r="23" customFormat="false" ht="15" hidden="false" customHeight="true" outlineLevel="0" collapsed="false">
      <c r="A23" s="11" t="s">
        <v>35</v>
      </c>
      <c r="B23" s="19" t="n">
        <v>500</v>
      </c>
      <c r="C23" s="19" t="n">
        <v>500</v>
      </c>
      <c r="D23" s="19" t="n">
        <v>500</v>
      </c>
      <c r="E23" s="19" t="n">
        <v>500</v>
      </c>
      <c r="F23" s="19" t="n">
        <v>500</v>
      </c>
      <c r="G23" s="19" t="n">
        <v>500</v>
      </c>
      <c r="H23" s="13" t="s">
        <v>36</v>
      </c>
    </row>
    <row r="24" customFormat="false" ht="15" hidden="false" customHeight="true" outlineLevel="0" collapsed="false">
      <c r="A24" s="20" t="s">
        <v>37</v>
      </c>
      <c r="B24" s="21" t="n">
        <f aca="false">B21*B22</f>
        <v>50</v>
      </c>
      <c r="C24" s="21" t="n">
        <f aca="false">C21*C22</f>
        <v>50</v>
      </c>
      <c r="D24" s="21" t="n">
        <f aca="false">D21*D22</f>
        <v>500</v>
      </c>
      <c r="E24" s="21" t="n">
        <f aca="false">E21*E22</f>
        <v>1000</v>
      </c>
      <c r="F24" s="21" t="n">
        <f aca="false">F21*F22</f>
        <v>500</v>
      </c>
      <c r="G24" s="21" t="n">
        <f aca="false">G21*G22</f>
        <v>45000</v>
      </c>
      <c r="H24" s="13" t="s">
        <v>38</v>
      </c>
    </row>
    <row r="25" customFormat="false" ht="15" hidden="false" customHeight="true" outlineLevel="0" collapsed="false">
      <c r="A25" s="20" t="s">
        <v>39</v>
      </c>
      <c r="B25" s="21" t="n">
        <f aca="false">B21*B23</f>
        <v>500</v>
      </c>
      <c r="C25" s="21" t="n">
        <f aca="false">C21*C23</f>
        <v>500</v>
      </c>
      <c r="D25" s="21" t="n">
        <f aca="false">D21*D23</f>
        <v>5000</v>
      </c>
      <c r="E25" s="21" t="n">
        <f aca="false">E21*E23</f>
        <v>10000</v>
      </c>
      <c r="F25" s="21" t="n">
        <f aca="false">F21*F23</f>
        <v>5000</v>
      </c>
      <c r="G25" s="21" t="n">
        <f aca="false">G21*G23</f>
        <v>450000</v>
      </c>
      <c r="H25" s="13" t="s">
        <v>40</v>
      </c>
    </row>
    <row r="27" customFormat="false" ht="15" hidden="false" customHeight="true" outlineLevel="0" collapsed="false">
      <c r="A27" s="10" t="s">
        <v>41</v>
      </c>
      <c r="B27" s="18"/>
      <c r="C27" s="18"/>
      <c r="D27" s="18"/>
      <c r="E27" s="18"/>
      <c r="F27" s="18"/>
      <c r="G27" s="18"/>
      <c r="H27" s="18"/>
    </row>
    <row r="28" customFormat="false" ht="15" hidden="false" customHeight="true" outlineLevel="0" collapsed="false">
      <c r="A28" s="11" t="s">
        <v>42</v>
      </c>
      <c r="B28" s="22" t="n">
        <v>0</v>
      </c>
      <c r="C28" s="22" t="n">
        <v>25</v>
      </c>
      <c r="D28" s="22" t="n">
        <v>0</v>
      </c>
      <c r="E28" s="22" t="n">
        <v>40</v>
      </c>
      <c r="F28" s="22" t="n">
        <v>3</v>
      </c>
      <c r="G28" s="22" t="n">
        <v>0</v>
      </c>
      <c r="H28" s="13" t="s">
        <v>43</v>
      </c>
    </row>
    <row r="29" customFormat="false" ht="15" hidden="false" customHeight="true" outlineLevel="0" collapsed="false">
      <c r="A29" s="11" t="s">
        <v>44</v>
      </c>
      <c r="B29" s="22" t="n">
        <v>0</v>
      </c>
      <c r="C29" s="22" t="n">
        <v>25</v>
      </c>
      <c r="D29" s="22" t="n">
        <v>0</v>
      </c>
      <c r="E29" s="22" t="n">
        <v>40</v>
      </c>
      <c r="F29" s="22" t="n">
        <v>3</v>
      </c>
      <c r="G29" s="22" t="n">
        <v>0</v>
      </c>
      <c r="H29" s="13" t="s">
        <v>45</v>
      </c>
    </row>
    <row r="30" customFormat="false" ht="15" hidden="false" customHeight="true" outlineLevel="0" collapsed="false">
      <c r="A30" s="11" t="s">
        <v>46</v>
      </c>
      <c r="B30" s="22" t="n">
        <v>0</v>
      </c>
      <c r="C30" s="22" t="n">
        <v>12</v>
      </c>
      <c r="D30" s="22" t="n">
        <v>0</v>
      </c>
      <c r="E30" s="22" t="n">
        <v>30</v>
      </c>
      <c r="F30" s="22" t="n">
        <v>2</v>
      </c>
      <c r="G30" s="22" t="n">
        <v>0</v>
      </c>
      <c r="H30" s="13" t="s">
        <v>47</v>
      </c>
    </row>
    <row r="31" customFormat="false" ht="15" hidden="false" customHeight="true" outlineLevel="0" collapsed="false">
      <c r="A31" s="11" t="s">
        <v>48</v>
      </c>
      <c r="B31" s="22" t="n">
        <v>0</v>
      </c>
      <c r="C31" s="22" t="n">
        <v>18</v>
      </c>
      <c r="D31" s="22" t="n">
        <v>0</v>
      </c>
      <c r="E31" s="22" t="n">
        <v>20</v>
      </c>
      <c r="F31" s="22" t="n">
        <v>3</v>
      </c>
      <c r="G31" s="22" t="n">
        <v>0</v>
      </c>
      <c r="H31" s="13" t="s">
        <v>49</v>
      </c>
    </row>
    <row r="32" customFormat="false" ht="15" hidden="false" customHeight="true" outlineLevel="0" collapsed="false">
      <c r="A32" s="11" t="s">
        <v>50</v>
      </c>
      <c r="B32" s="22" t="n">
        <v>0</v>
      </c>
      <c r="C32" s="22" t="n">
        <v>15</v>
      </c>
      <c r="D32" s="22" t="n">
        <v>0</v>
      </c>
      <c r="E32" s="22" t="n">
        <v>25</v>
      </c>
      <c r="F32" s="22" t="n">
        <v>3</v>
      </c>
      <c r="G32" s="22" t="n">
        <v>0</v>
      </c>
      <c r="H32" s="13" t="s">
        <v>51</v>
      </c>
    </row>
    <row r="33" customFormat="false" ht="15" hidden="false" customHeight="true" outlineLevel="0" collapsed="false">
      <c r="A33" s="11" t="s">
        <v>52</v>
      </c>
      <c r="B33" s="22" t="n">
        <v>0</v>
      </c>
      <c r="C33" s="22" t="n">
        <v>12</v>
      </c>
      <c r="D33" s="22" t="n">
        <v>0</v>
      </c>
      <c r="E33" s="22" t="n">
        <v>30</v>
      </c>
      <c r="F33" s="22" t="n">
        <v>3</v>
      </c>
      <c r="G33" s="22" t="n">
        <v>0</v>
      </c>
      <c r="H33" s="13" t="s">
        <v>53</v>
      </c>
    </row>
    <row r="34" customFormat="false" ht="15" hidden="false" customHeight="true" outlineLevel="0" collapsed="false">
      <c r="A34" s="11" t="s">
        <v>54</v>
      </c>
      <c r="B34" s="22" t="n">
        <v>0</v>
      </c>
      <c r="C34" s="22" t="n">
        <v>15</v>
      </c>
      <c r="D34" s="22" t="n">
        <v>0</v>
      </c>
      <c r="E34" s="22" t="n">
        <v>25</v>
      </c>
      <c r="F34" s="22" t="n">
        <v>3</v>
      </c>
      <c r="G34" s="22" t="n">
        <v>0</v>
      </c>
      <c r="H34" s="13" t="s">
        <v>55</v>
      </c>
    </row>
    <row r="35" customFormat="false" ht="15" hidden="false" customHeight="true" outlineLevel="0" collapsed="false">
      <c r="A35" s="11" t="s">
        <v>56</v>
      </c>
      <c r="B35" s="22" t="n">
        <v>0</v>
      </c>
      <c r="C35" s="22" t="n">
        <v>15</v>
      </c>
      <c r="D35" s="22" t="n">
        <v>0</v>
      </c>
      <c r="E35" s="22" t="n">
        <v>30</v>
      </c>
      <c r="F35" s="22" t="n">
        <v>4</v>
      </c>
      <c r="G35" s="22" t="n">
        <v>0</v>
      </c>
      <c r="H35" s="13" t="s">
        <v>57</v>
      </c>
    </row>
    <row r="36" customFormat="false" ht="15" hidden="false" customHeight="true" outlineLevel="0" collapsed="false">
      <c r="A36" s="23" t="s">
        <v>58</v>
      </c>
      <c r="B36" s="24" t="n">
        <v>0</v>
      </c>
      <c r="C36" s="24" t="n">
        <v>0</v>
      </c>
      <c r="D36" s="24" t="n">
        <v>0</v>
      </c>
      <c r="E36" s="24" t="n">
        <v>100</v>
      </c>
      <c r="F36" s="24" t="n">
        <v>0</v>
      </c>
      <c r="G36" s="24" t="n">
        <v>0</v>
      </c>
      <c r="H36" s="25" t="s">
        <v>59</v>
      </c>
    </row>
    <row r="37" customFormat="false" ht="15" hidden="false" customHeight="true" outlineLevel="0" collapsed="false">
      <c r="A37" s="23" t="s">
        <v>60</v>
      </c>
      <c r="B37" s="24" t="n">
        <v>0</v>
      </c>
      <c r="C37" s="24" t="n">
        <v>0</v>
      </c>
      <c r="D37" s="24" t="n">
        <v>0</v>
      </c>
      <c r="E37" s="24" t="n">
        <v>60</v>
      </c>
      <c r="F37" s="24" t="n">
        <v>0</v>
      </c>
      <c r="G37" s="24" t="n">
        <v>0</v>
      </c>
      <c r="H37" s="25" t="s">
        <v>61</v>
      </c>
    </row>
    <row r="38" customFormat="false" ht="15" hidden="false" customHeight="true" outlineLevel="0" collapsed="false">
      <c r="A38" s="11" t="s">
        <v>62</v>
      </c>
      <c r="B38" s="22" t="n">
        <v>0</v>
      </c>
      <c r="C38" s="22" t="n">
        <v>0</v>
      </c>
      <c r="D38" s="22" t="n">
        <v>0</v>
      </c>
      <c r="E38" s="22" t="n">
        <v>0</v>
      </c>
      <c r="F38" s="22" t="n">
        <v>40</v>
      </c>
      <c r="G38" s="22" t="n">
        <v>0</v>
      </c>
      <c r="H38" s="13" t="s">
        <v>63</v>
      </c>
    </row>
    <row r="39" customFormat="false" ht="15" hidden="false" customHeight="true" outlineLevel="0" collapsed="false">
      <c r="A39" s="20" t="s">
        <v>64</v>
      </c>
      <c r="B39" s="26" t="s">
        <v>65</v>
      </c>
      <c r="C39" s="21" t="n">
        <f aca="false">SUM(C28:C38)</f>
        <v>137</v>
      </c>
      <c r="D39" s="21" t="n">
        <f aca="false">SUM(D28:D38)</f>
        <v>0</v>
      </c>
      <c r="E39" s="21" t="n">
        <f aca="false">SUM(E28:E38)</f>
        <v>400</v>
      </c>
      <c r="F39" s="21" t="n">
        <f aca="false">SUM(F28:F38)</f>
        <v>64</v>
      </c>
      <c r="G39" s="21" t="n">
        <f aca="false">SUM(G28:G38)</f>
        <v>0</v>
      </c>
    </row>
    <row r="41" customFormat="false" ht="15" hidden="false" customHeight="true" outlineLevel="0" collapsed="false">
      <c r="A41" s="10" t="s">
        <v>66</v>
      </c>
      <c r="B41" s="18"/>
      <c r="C41" s="18"/>
      <c r="D41" s="18"/>
      <c r="E41" s="18"/>
      <c r="F41" s="18"/>
      <c r="G41" s="18"/>
      <c r="H41" s="18"/>
    </row>
    <row r="42" customFormat="false" ht="15" hidden="false" customHeight="true" outlineLevel="0" collapsed="false">
      <c r="A42" s="11" t="s">
        <v>67</v>
      </c>
      <c r="B42" s="22" t="n">
        <v>0</v>
      </c>
      <c r="C42" s="22" t="n">
        <v>0</v>
      </c>
      <c r="D42" s="22" t="n">
        <v>5</v>
      </c>
      <c r="E42" s="22" t="n">
        <v>0</v>
      </c>
      <c r="F42" s="22" t="n">
        <v>0</v>
      </c>
      <c r="G42" s="22" t="n">
        <v>12</v>
      </c>
    </row>
    <row r="43" customFormat="false" ht="15" hidden="false" customHeight="true" outlineLevel="0" collapsed="false">
      <c r="A43" s="11" t="s">
        <v>68</v>
      </c>
      <c r="B43" s="22" t="n">
        <v>0</v>
      </c>
      <c r="C43" s="22" t="n">
        <v>0</v>
      </c>
      <c r="D43" s="22" t="n">
        <v>3</v>
      </c>
      <c r="E43" s="22" t="n">
        <v>0</v>
      </c>
      <c r="F43" s="22" t="n">
        <v>0</v>
      </c>
      <c r="G43" s="22" t="n">
        <v>8</v>
      </c>
    </row>
    <row r="44" customFormat="false" ht="15" hidden="false" customHeight="true" outlineLevel="0" collapsed="false">
      <c r="A44" s="11" t="s">
        <v>69</v>
      </c>
      <c r="B44" s="22" t="n">
        <v>0</v>
      </c>
      <c r="C44" s="22" t="n">
        <v>0</v>
      </c>
      <c r="D44" s="22" t="n">
        <v>5</v>
      </c>
      <c r="E44" s="22" t="n">
        <v>0</v>
      </c>
      <c r="F44" s="22" t="n">
        <v>0</v>
      </c>
      <c r="G44" s="22" t="n">
        <v>15</v>
      </c>
    </row>
    <row r="45" customFormat="false" ht="15" hidden="false" customHeight="true" outlineLevel="0" collapsed="false">
      <c r="A45" s="11" t="s">
        <v>70</v>
      </c>
      <c r="B45" s="22" t="n">
        <v>0</v>
      </c>
      <c r="C45" s="22" t="n">
        <v>0</v>
      </c>
      <c r="D45" s="22" t="n">
        <v>3</v>
      </c>
      <c r="E45" s="22" t="n">
        <v>0</v>
      </c>
      <c r="F45" s="22" t="n">
        <v>0</v>
      </c>
      <c r="G45" s="22" t="n">
        <v>8</v>
      </c>
    </row>
    <row r="46" customFormat="false" ht="15" hidden="false" customHeight="true" outlineLevel="0" collapsed="false">
      <c r="A46" s="11" t="s">
        <v>71</v>
      </c>
      <c r="B46" s="22" t="n">
        <v>0</v>
      </c>
      <c r="C46" s="22" t="n">
        <v>0</v>
      </c>
      <c r="D46" s="22" t="n">
        <v>3</v>
      </c>
      <c r="E46" s="22" t="n">
        <v>0</v>
      </c>
      <c r="F46" s="22" t="n">
        <v>0</v>
      </c>
      <c r="G46" s="22" t="n">
        <v>10</v>
      </c>
    </row>
    <row r="47" customFormat="false" ht="15" hidden="false" customHeight="true" outlineLevel="0" collapsed="false">
      <c r="A47" s="11" t="s">
        <v>72</v>
      </c>
      <c r="B47" s="22" t="n">
        <v>0</v>
      </c>
      <c r="C47" s="22" t="n">
        <v>0</v>
      </c>
      <c r="D47" s="22" t="n">
        <v>2</v>
      </c>
      <c r="E47" s="22" t="n">
        <v>0</v>
      </c>
      <c r="F47" s="22" t="n">
        <v>0</v>
      </c>
      <c r="G47" s="22" t="n">
        <v>3</v>
      </c>
    </row>
    <row r="48" customFormat="false" ht="15" hidden="false" customHeight="true" outlineLevel="0" collapsed="false">
      <c r="A48" s="11" t="s">
        <v>73</v>
      </c>
      <c r="B48" s="22" t="n">
        <v>0</v>
      </c>
      <c r="C48" s="22" t="n">
        <v>0</v>
      </c>
      <c r="D48" s="22" t="n">
        <v>0</v>
      </c>
      <c r="E48" s="22" t="n">
        <v>0</v>
      </c>
      <c r="F48" s="22" t="n">
        <v>0</v>
      </c>
      <c r="G48" s="22" t="n">
        <v>12</v>
      </c>
    </row>
    <row r="49" customFormat="false" ht="15" hidden="false" customHeight="true" outlineLevel="0" collapsed="false">
      <c r="A49" s="20" t="s">
        <v>74</v>
      </c>
      <c r="B49" s="21" t="n">
        <f aca="false">SUM(B42:B48)</f>
        <v>0</v>
      </c>
      <c r="C49" s="21" t="n">
        <f aca="false">SUM(C42:C48)</f>
        <v>0</v>
      </c>
      <c r="D49" s="21" t="n">
        <f aca="false">SUM(D42:D48)</f>
        <v>21</v>
      </c>
      <c r="E49" s="21" t="n">
        <f aca="false">SUM(E42:E48)</f>
        <v>0</v>
      </c>
      <c r="F49" s="21" t="n">
        <f aca="false">SUM(F42:F48)</f>
        <v>0</v>
      </c>
      <c r="G49" s="21" t="n">
        <f aca="false">SUM(G42:G48)</f>
        <v>68</v>
      </c>
    </row>
    <row r="51" customFormat="false" ht="15" hidden="false" customHeight="true" outlineLevel="0" collapsed="false">
      <c r="A51" s="10" t="s">
        <v>75</v>
      </c>
      <c r="B51" s="18"/>
      <c r="C51" s="18"/>
      <c r="D51" s="18"/>
      <c r="E51" s="18"/>
      <c r="F51" s="18"/>
      <c r="G51" s="18"/>
      <c r="H51" s="18"/>
    </row>
    <row r="52" customFormat="false" ht="15" hidden="false" customHeight="true" outlineLevel="0" collapsed="false">
      <c r="A52" s="11" t="s">
        <v>76</v>
      </c>
      <c r="B52" s="27" t="n">
        <v>5</v>
      </c>
      <c r="C52" s="27" t="n">
        <v>10</v>
      </c>
      <c r="D52" s="27" t="n">
        <v>180</v>
      </c>
      <c r="E52" s="27" t="n">
        <v>330</v>
      </c>
      <c r="F52" s="27" t="n">
        <v>180</v>
      </c>
      <c r="G52" s="27" t="n">
        <v>950</v>
      </c>
      <c r="H52" s="13" t="s">
        <v>77</v>
      </c>
    </row>
    <row r="53" customFormat="false" ht="15" hidden="false" customHeight="true" outlineLevel="0" collapsed="false">
      <c r="A53" s="11" t="s">
        <v>78</v>
      </c>
      <c r="B53" s="27" t="n">
        <v>0</v>
      </c>
      <c r="C53" s="27" t="n">
        <v>600</v>
      </c>
      <c r="D53" s="27" t="n">
        <v>3264</v>
      </c>
      <c r="E53" s="27" t="n">
        <v>8664</v>
      </c>
      <c r="F53" s="27" t="n">
        <v>2064</v>
      </c>
      <c r="G53" s="27" t="n">
        <v>24480</v>
      </c>
      <c r="H53" s="13" t="s">
        <v>79</v>
      </c>
    </row>
    <row r="54" customFormat="false" ht="15" hidden="false" customHeight="true" outlineLevel="0" collapsed="false">
      <c r="A54" s="11" t="s">
        <v>80</v>
      </c>
      <c r="B54" s="28" t="n">
        <f aca="false">ROUND(B25*$B$9,0)</f>
        <v>1</v>
      </c>
      <c r="C54" s="28" t="n">
        <f aca="false">ROUND(C25*$B$9,0)</f>
        <v>1</v>
      </c>
      <c r="D54" s="28" t="n">
        <f aca="false">ROUND(D25*$B$9,0)</f>
        <v>7</v>
      </c>
      <c r="E54" s="28" t="n">
        <f aca="false">ROUND(E25*$B$9,0)</f>
        <v>14</v>
      </c>
      <c r="F54" s="28" t="n">
        <f aca="false">ROUND(F25*$B$9,0)</f>
        <v>7</v>
      </c>
      <c r="G54" s="28" t="n">
        <f aca="false">ROUND(G25*$B$9,0)</f>
        <v>621</v>
      </c>
      <c r="H54" s="13" t="s">
        <v>81</v>
      </c>
    </row>
    <row r="55" customFormat="false" ht="15" hidden="false" customHeight="true" outlineLevel="0" collapsed="false">
      <c r="A55" s="11" t="s">
        <v>82</v>
      </c>
      <c r="B55" s="28" t="n">
        <f aca="false">ROUND(B25*$B$12*$B$10,0)</f>
        <v>9</v>
      </c>
      <c r="C55" s="28" t="n">
        <f aca="false">ROUND(C25*$B$12*$B$10,0)</f>
        <v>9</v>
      </c>
      <c r="D55" s="28" t="n">
        <f aca="false">ROUND(D25*$B$12*$B$10,0)</f>
        <v>90</v>
      </c>
      <c r="E55" s="28" t="n">
        <f aca="false">ROUND(E25*$B$12*$B$10,0)</f>
        <v>179</v>
      </c>
      <c r="F55" s="28" t="n">
        <f aca="false">ROUND(F25*$B$12*$B$10,0)</f>
        <v>90</v>
      </c>
      <c r="G55" s="28" t="n">
        <f aca="false">ROUND(G25*$B$12*$B$10,0)</f>
        <v>8073</v>
      </c>
      <c r="H55" s="13" t="s">
        <v>83</v>
      </c>
    </row>
    <row r="56" customFormat="false" ht="15" hidden="false" customHeight="true" outlineLevel="0" collapsed="false">
      <c r="A56" s="11" t="s">
        <v>84</v>
      </c>
      <c r="B56" s="28" t="n">
        <f aca="false">ROUND(B25*$B$13*$B$11,0)</f>
        <v>1</v>
      </c>
      <c r="C56" s="28" t="n">
        <f aca="false">ROUND(C25*$B$13*$B$11,0)</f>
        <v>1</v>
      </c>
      <c r="D56" s="28" t="n">
        <f aca="false">ROUND(D25*$B$13*$B$11,0)</f>
        <v>7</v>
      </c>
      <c r="E56" s="28" t="n">
        <f aca="false">ROUND(E25*$B$13*$B$11,0)</f>
        <v>14</v>
      </c>
      <c r="F56" s="28" t="n">
        <f aca="false">ROUND(F25*$B$13*$B$11,0)</f>
        <v>7</v>
      </c>
      <c r="G56" s="28" t="n">
        <f aca="false">ROUND(G25*$B$13*$B$11,0)</f>
        <v>621</v>
      </c>
      <c r="H56" s="13" t="s">
        <v>85</v>
      </c>
    </row>
    <row r="57" customFormat="false" ht="15" hidden="false" customHeight="true" outlineLevel="0" collapsed="false">
      <c r="A57" s="11" t="s">
        <v>86</v>
      </c>
      <c r="B57" s="28" t="n">
        <f aca="false">ROUND(B21*$B$14,0)</f>
        <v>2</v>
      </c>
      <c r="C57" s="28" t="n">
        <f aca="false">ROUND(C21*$B$14,0)</f>
        <v>2</v>
      </c>
      <c r="D57" s="28" t="n">
        <f aca="false">ROUND(D21*$B$14,0)</f>
        <v>23</v>
      </c>
      <c r="E57" s="28" t="n">
        <f aca="false">ROUND(E21*$B$14,0)</f>
        <v>46</v>
      </c>
      <c r="F57" s="28" t="n">
        <f aca="false">ROUND(F21*$B$14,0)</f>
        <v>23</v>
      </c>
      <c r="G57" s="28" t="n">
        <f aca="false">ROUND(G21*$B$14,0)</f>
        <v>2070</v>
      </c>
      <c r="H57" s="13" t="s">
        <v>87</v>
      </c>
    </row>
    <row r="58" customFormat="false" ht="15" hidden="false" customHeight="true" outlineLevel="0" collapsed="false">
      <c r="A58" s="11" t="s">
        <v>88</v>
      </c>
      <c r="B58" s="28" t="n">
        <f aca="false">ROUND(B21*$B$15,0)</f>
        <v>1</v>
      </c>
      <c r="C58" s="28" t="n">
        <f aca="false">ROUND(C21*$B$15,0)</f>
        <v>1</v>
      </c>
      <c r="D58" s="28" t="n">
        <f aca="false">ROUND(D21*$B$15,0)</f>
        <v>14</v>
      </c>
      <c r="E58" s="28" t="n">
        <f aca="false">ROUND(E21*$B$15,0)</f>
        <v>28</v>
      </c>
      <c r="F58" s="28" t="n">
        <f aca="false">ROUND(F21*$B$15,0)</f>
        <v>14</v>
      </c>
      <c r="G58" s="28" t="n">
        <f aca="false">ROUND(G21*$B$15,0)</f>
        <v>1242</v>
      </c>
      <c r="H58" s="13" t="s">
        <v>89</v>
      </c>
    </row>
    <row r="59" customFormat="false" ht="15" hidden="false" customHeight="true" outlineLevel="0" collapsed="false">
      <c r="A59" s="11" t="s">
        <v>90</v>
      </c>
      <c r="B59" s="28" t="n">
        <f aca="false">ROUND(B24*$B$16,0)</f>
        <v>2</v>
      </c>
      <c r="C59" s="28" t="n">
        <f aca="false">ROUND(C24*$B$16,0)</f>
        <v>2</v>
      </c>
      <c r="D59" s="28" t="n">
        <f aca="false">ROUND(D24*$B$16,0)</f>
        <v>23</v>
      </c>
      <c r="E59" s="28" t="n">
        <f aca="false">ROUND(E24*$B$16,0)</f>
        <v>46</v>
      </c>
      <c r="F59" s="28" t="n">
        <f aca="false">ROUND(F24*$B$16,0)</f>
        <v>23</v>
      </c>
      <c r="G59" s="28" t="n">
        <f aca="false">ROUND(G24*$B$16,0)</f>
        <v>2070</v>
      </c>
      <c r="H59" s="13" t="s">
        <v>91</v>
      </c>
    </row>
    <row r="60" customFormat="false" ht="15" hidden="false" customHeight="true" outlineLevel="0" collapsed="false">
      <c r="A60" s="11" t="s">
        <v>92</v>
      </c>
      <c r="B60" s="28" t="n">
        <f aca="false">ROUND(B25*$B$17,0)</f>
        <v>0</v>
      </c>
      <c r="C60" s="28" t="n">
        <f aca="false">ROUND(C25*$B$17,0)</f>
        <v>0</v>
      </c>
      <c r="D60" s="28" t="n">
        <f aca="false">ROUND(D25*$B$17,0)</f>
        <v>0</v>
      </c>
      <c r="E60" s="28" t="n">
        <f aca="false">ROUND(E25*$B$17,0)</f>
        <v>1</v>
      </c>
      <c r="F60" s="28" t="n">
        <f aca="false">ROUND(F25*$B$17,0)</f>
        <v>0</v>
      </c>
      <c r="G60" s="28" t="n">
        <f aca="false">ROUND(G25*$B$17,0)</f>
        <v>41</v>
      </c>
      <c r="H60" s="13" t="s">
        <v>93</v>
      </c>
    </row>
    <row r="61" customFormat="false" ht="15" hidden="false" customHeight="true" outlineLevel="0" collapsed="false">
      <c r="A61" s="11" t="s">
        <v>94</v>
      </c>
      <c r="B61" s="28" t="n">
        <f aca="false">ROUND((B57+B58+B59+B60)*$B$18,0)</f>
        <v>1</v>
      </c>
      <c r="C61" s="28" t="n">
        <f aca="false">ROUND((C57+C58+C59+C60)*$B$18,0)</f>
        <v>1</v>
      </c>
      <c r="D61" s="28" t="n">
        <f aca="false">ROUND((D57+D58+D59+D60)*$B$18,0)</f>
        <v>9</v>
      </c>
      <c r="E61" s="28" t="n">
        <f aca="false">ROUND((E57+E58+E59+E60)*$B$18,0)</f>
        <v>18</v>
      </c>
      <c r="F61" s="28" t="n">
        <f aca="false">ROUND((F57+F58+F59+F60)*$B$18,0)</f>
        <v>9</v>
      </c>
      <c r="G61" s="28" t="n">
        <f aca="false">ROUND((G57+G58+G59+G60)*$B$18,0)</f>
        <v>813</v>
      </c>
      <c r="H61" s="13" t="s">
        <v>95</v>
      </c>
    </row>
    <row r="62" customFormat="false" ht="15" hidden="false" customHeight="true" outlineLevel="0" collapsed="false">
      <c r="A62" s="29" t="s">
        <v>96</v>
      </c>
      <c r="B62" s="30" t="n">
        <f aca="false">SUM(B52:B61)</f>
        <v>22</v>
      </c>
      <c r="C62" s="30" t="n">
        <f aca="false">SUM(C52:C61)</f>
        <v>627</v>
      </c>
      <c r="D62" s="30" t="n">
        <f aca="false">SUM(D52:D61)</f>
        <v>3617</v>
      </c>
      <c r="E62" s="30" t="n">
        <f aca="false">SUM(E52:E61)</f>
        <v>9340</v>
      </c>
      <c r="F62" s="30" t="n">
        <f aca="false">SUM(F52:F61)</f>
        <v>2417</v>
      </c>
      <c r="G62" s="30" t="n">
        <f aca="false">SUM(G52:G61)</f>
        <v>40981</v>
      </c>
      <c r="H62" s="31"/>
    </row>
    <row r="64" customFormat="false" ht="15" hidden="false" customHeight="true" outlineLevel="0" collapsed="false">
      <c r="A64" s="10" t="s">
        <v>97</v>
      </c>
      <c r="B64" s="18"/>
      <c r="C64" s="18"/>
      <c r="D64" s="18"/>
      <c r="E64" s="18"/>
      <c r="F64" s="18"/>
      <c r="G64" s="18"/>
      <c r="H64" s="18"/>
    </row>
    <row r="65" customFormat="false" ht="15" hidden="false" customHeight="true" outlineLevel="0" collapsed="false">
      <c r="A65" s="20" t="s">
        <v>98</v>
      </c>
      <c r="B65" s="26" t="s">
        <v>65</v>
      </c>
      <c r="C65" s="21" t="n">
        <f aca="false">C39</f>
        <v>137</v>
      </c>
      <c r="D65" s="21" t="n">
        <f aca="false">D39</f>
        <v>0</v>
      </c>
      <c r="E65" s="21" t="n">
        <f aca="false">E39</f>
        <v>400</v>
      </c>
      <c r="F65" s="21" t="n">
        <f aca="false">F39</f>
        <v>64</v>
      </c>
      <c r="G65" s="21" t="n">
        <f aca="false">G39</f>
        <v>0</v>
      </c>
    </row>
    <row r="66" customFormat="false" ht="15" hidden="false" customHeight="true" outlineLevel="0" collapsed="false">
      <c r="A66" s="20" t="s">
        <v>99</v>
      </c>
      <c r="B66" s="21" t="n">
        <f aca="false">B49</f>
        <v>0</v>
      </c>
      <c r="C66" s="21" t="n">
        <f aca="false">C49</f>
        <v>0</v>
      </c>
      <c r="D66" s="21" t="n">
        <f aca="false">D49</f>
        <v>21</v>
      </c>
      <c r="E66" s="21" t="n">
        <f aca="false">E49</f>
        <v>0</v>
      </c>
      <c r="F66" s="21" t="n">
        <f aca="false">F49</f>
        <v>0</v>
      </c>
      <c r="G66" s="21" t="n">
        <f aca="false">G49</f>
        <v>68</v>
      </c>
    </row>
    <row r="67" customFormat="false" ht="15" hidden="false" customHeight="true" outlineLevel="0" collapsed="false">
      <c r="A67" s="20" t="s">
        <v>100</v>
      </c>
      <c r="B67" s="32" t="n">
        <f aca="false">B62</f>
        <v>22</v>
      </c>
      <c r="C67" s="32" t="n">
        <f aca="false">C62</f>
        <v>627</v>
      </c>
      <c r="D67" s="32" t="n">
        <f aca="false">D62</f>
        <v>3617</v>
      </c>
      <c r="E67" s="32" t="n">
        <f aca="false">E62</f>
        <v>9340</v>
      </c>
      <c r="F67" s="32" t="n">
        <f aca="false">F62</f>
        <v>2417</v>
      </c>
      <c r="G67" s="32" t="n">
        <f aca="false">G62</f>
        <v>40981</v>
      </c>
    </row>
    <row r="68" customFormat="false" ht="15" hidden="false" customHeight="true" outlineLevel="0" collapsed="false">
      <c r="A68" s="20" t="s">
        <v>101</v>
      </c>
      <c r="B68" s="32" t="n">
        <v>0</v>
      </c>
      <c r="C68" s="32" t="n">
        <v>4800</v>
      </c>
      <c r="D68" s="32" t="n">
        <v>2400</v>
      </c>
      <c r="E68" s="32" t="n">
        <v>0</v>
      </c>
      <c r="F68" s="32" t="n">
        <v>2400</v>
      </c>
      <c r="G68" s="32" t="n">
        <v>0</v>
      </c>
      <c r="H68" s="13" t="s">
        <v>102</v>
      </c>
    </row>
    <row r="70" customFormat="false" ht="15" hidden="false" customHeight="true" outlineLevel="0" collapsed="false">
      <c r="A70" s="13" t="s">
        <v>103</v>
      </c>
    </row>
    <row r="71" customFormat="false" ht="15" hidden="false" customHeight="true" outlineLevel="0" collapsed="false">
      <c r="A71" s="13" t="s">
        <v>104</v>
      </c>
    </row>
    <row r="72" customFormat="false" ht="15" hidden="false" customHeight="true" outlineLevel="0" collapsed="false">
      <c r="A72" s="13" t="s">
        <v>105</v>
      </c>
    </row>
    <row r="73" customFormat="false" ht="15" hidden="false" customHeight="true" outlineLevel="0" collapsed="false">
      <c r="A73" s="13" t="s">
        <v>106</v>
      </c>
    </row>
    <row r="74" customFormat="false" ht="15" hidden="false" customHeight="true" outlineLevel="0" collapsed="false">
      <c r="A74" s="13" t="s">
        <v>107</v>
      </c>
    </row>
    <row r="75" customFormat="false" ht="15" hidden="false" customHeight="true" outlineLevel="0" collapsed="false">
      <c r="A75" s="13" t="s">
        <v>108</v>
      </c>
    </row>
    <row r="76" customFormat="false" ht="15" hidden="false" customHeight="true" outlineLevel="0" collapsed="false">
      <c r="A76" s="13" t="s">
        <v>109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2026-03-26T11:52:40Z</dcterms:created>
  <dc:creator>openpyxl</dc:creator>
  <dc:description/>
  <dc:language>en-US</dc:language>
  <cp:lastModifiedBy/>
  <dcterms:modified xsi:type="dcterms:W3CDTF">2026-03-26T12:00:19Z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